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ssein\Desktop\"/>
    </mc:Choice>
  </mc:AlternateContent>
  <xr:revisionPtr revIDLastSave="0" documentId="8_{17649CE3-8FF4-48B1-9D30-BBDFD60D1486}" xr6:coauthVersionLast="47" xr6:coauthVersionMax="47" xr10:uidLastSave="{00000000-0000-0000-0000-000000000000}"/>
  <bookViews>
    <workbookView xWindow="-108" yWindow="-108" windowWidth="23256" windowHeight="12576" xr2:uid="{BFCBB402-30F2-884E-8876-69B54FE2B9CE}"/>
  </bookViews>
  <sheets>
    <sheet name="Sheet1" sheetId="1" r:id="rId1"/>
  </sheets>
  <definedNames>
    <definedName name="_xlnm._FilterDatabase" localSheetId="0" hidden="1">Sheet1!$A$1:$A$47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C35" i="1"/>
  <c r="C31" i="1"/>
  <c r="C32" i="1"/>
  <c r="C33" i="1"/>
  <c r="C34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<sst xmlns="http://schemas.openxmlformats.org/spreadsheetml/2006/main" count="48" uniqueCount="48">
  <si>
    <t>mutation</t>
  </si>
  <si>
    <t>VN228A</t>
  </si>
  <si>
    <t>LN218A</t>
  </si>
  <si>
    <t>LQ218A</t>
  </si>
  <si>
    <t>LD218A</t>
  </si>
  <si>
    <t>FR214A</t>
  </si>
  <si>
    <t>YE213A</t>
  </si>
  <si>
    <t>IN209A</t>
  </si>
  <si>
    <t>YE207A</t>
  </si>
  <si>
    <t>YN207A</t>
  </si>
  <si>
    <t>YQ207A:</t>
  </si>
  <si>
    <t>IN175A</t>
  </si>
  <si>
    <t>IS175A</t>
  </si>
  <si>
    <t>VN30A</t>
  </si>
  <si>
    <t>IR175A</t>
  </si>
  <si>
    <t>IR229A</t>
  </si>
  <si>
    <t>IN229A</t>
  </si>
  <si>
    <t>ID229A</t>
  </si>
  <si>
    <t>IQ229A</t>
  </si>
  <si>
    <t>IE229A</t>
  </si>
  <si>
    <t>IG229A</t>
  </si>
  <si>
    <t>IQ209A</t>
  </si>
  <si>
    <t>ME232A</t>
  </si>
  <si>
    <t>MK232A</t>
  </si>
  <si>
    <t>VR68A</t>
  </si>
  <si>
    <t>VD68A</t>
  </si>
  <si>
    <t>IQ175A</t>
  </si>
  <si>
    <t>VE30A</t>
  </si>
  <si>
    <t>VN161A</t>
  </si>
  <si>
    <t>VE228A</t>
  </si>
  <si>
    <t>VE7A</t>
  </si>
  <si>
    <t>VE161A</t>
  </si>
  <si>
    <t>MD232A</t>
  </si>
  <si>
    <t>MR232A</t>
  </si>
  <si>
    <t>ΔΔG (kcal/mol)</t>
  </si>
  <si>
    <t>ΔA3D_score</t>
  </si>
  <si>
    <t>WT</t>
  </si>
  <si>
    <t>A3D_score</t>
  </si>
  <si>
    <t>CamSol score</t>
  </si>
  <si>
    <t> 0.578287</t>
  </si>
  <si>
    <t>Dynamut score</t>
  </si>
  <si>
    <t>CamSol structurally corrected</t>
  </si>
  <si>
    <t>SASA before (Angestrom^2)</t>
  </si>
  <si>
    <t>SASA After  (Angestrom^2)</t>
  </si>
  <si>
    <t>Exposure After (%)</t>
  </si>
  <si>
    <t>Exposure  before (SASA/SASA max x 100)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</si>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</sst>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0" fontId="1" fillId="2" borderId="2" xfId="1" applyBorder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</cellXfs>
  <cellStyles count="2">
    <cellStyle name="Check Cell" xfId="1" builtinId="23"/>
    <cellStyle name="Normal" xfId="0" builtinId="0"/>
  </cellStyles>
  <dxfs count="4">
    <dxf>
      <numFmt numFmtId="0" formatCode="General"/>
    </dxf>
    <dxf>
      <numFmt numFmtId="0" formatCode="General"/>
    </dxf>
    <dxf>
      <border diagonalUp="0" diagonalDown="0">
        <left/>
        <right style="double">
          <color rgb="FF3F3F3F"/>
        </right>
        <top style="double">
          <color rgb="FF3F3F3F"/>
        </top>
        <bottom style="double">
          <color rgb="FF3F3F3F"/>
        </bottom>
        <vertical/>
        <horizontal/>
      </border>
    </dxf>
    <dxf>
      <border outline="0">
        <left style="double">
          <color rgb="FF3F3F3F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Sheet1!$C$2:$C$12</c:f>
              <c:numCache>
                <c:formatCode>General</c:formatCode>
                <c:ptCount val="11"/>
                <c:pt idx="0">
                  <c:v>-3.9599999999999969E-2</c:v>
                </c:pt>
                <c:pt idx="1">
                  <c:v>-3.2200000000000006E-2</c:v>
                </c:pt>
                <c:pt idx="2">
                  <c:v>-3.0499999999999972E-2</c:v>
                </c:pt>
                <c:pt idx="3">
                  <c:v>-3.0499999999999972E-2</c:v>
                </c:pt>
                <c:pt idx="4">
                  <c:v>-2.9799999999999938E-2</c:v>
                </c:pt>
                <c:pt idx="5">
                  <c:v>-2.6900000000000035E-2</c:v>
                </c:pt>
                <c:pt idx="6">
                  <c:v>-2.6699999999999946E-2</c:v>
                </c:pt>
                <c:pt idx="7">
                  <c:v>-2.4699999999999944E-2</c:v>
                </c:pt>
                <c:pt idx="8">
                  <c:v>-2.4599999999999955E-2</c:v>
                </c:pt>
                <c:pt idx="9">
                  <c:v>-2.3199999999999998E-2</c:v>
                </c:pt>
                <c:pt idx="10">
                  <c:v>-2.1599999999999953E-2</c:v>
                </c:pt>
              </c:numCache>
            </c:numRef>
          </c:xVal>
          <c:yVal>
            <c:numRef>
              <c:f>Sheet1!$L$2:$L$12</c:f>
              <c:numCache>
                <c:formatCode>General</c:formatCode>
                <c:ptCount val="11"/>
                <c:pt idx="0">
                  <c:v>33.837999999999994</c:v>
                </c:pt>
                <c:pt idx="1">
                  <c:v>8.1370000000000005</c:v>
                </c:pt>
                <c:pt idx="2">
                  <c:v>-13.034999999999997</c:v>
                </c:pt>
                <c:pt idx="3">
                  <c:v>19.75500000000001</c:v>
                </c:pt>
                <c:pt idx="4">
                  <c:v>4.2019999999999982</c:v>
                </c:pt>
                <c:pt idx="5">
                  <c:v>16.959000000000003</c:v>
                </c:pt>
                <c:pt idx="6">
                  <c:v>5.6500000000000057</c:v>
                </c:pt>
                <c:pt idx="7">
                  <c:v>-30.033000000000001</c:v>
                </c:pt>
                <c:pt idx="8">
                  <c:v>-11.444000000000003</c:v>
                </c:pt>
                <c:pt idx="9">
                  <c:v>-9.9030000000000058</c:v>
                </c:pt>
                <c:pt idx="10">
                  <c:v>4.1259999999999906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7-4E1D-ADA2-79A7FB42C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981343"/>
        <c:axId val="1001981759"/>
      </c:scatterChart>
      <c:valAx>
        <c:axId val="100198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81759"/>
        <c:crosses val="autoZero"/>
        <c:crossBetween val="midCat"/>
      </c:valAx>
      <c:valAx>
        <c:axId val="10019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8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1094064</xdr:colOff>
      <xdr:row>3</xdr:row>
      <xdr:rowOff>141914</xdr:rowOff>
    </xdr:from>
    <xdr:to>
      <xdr:col>5</xdr:col>
      <xdr:colOff>1891018</xdr:colOff>
      <xdr:row>16</xdr:row>
      <xdr:rowOff>67811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83D248-0D74-4ACC-9041-8A45F83B6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39DB6-2A54-024F-AC07-0040A62686BD}" name="Table1" displayName="Table1" ref="A1:M34" totalsRowShown="0" tableBorderDxfId="3" headerRowCellStyle="Check Cell">
  <autoFilter ref="A1:M34" xr:uid="{EC239DB6-2A54-024F-AC07-0040A62686BD}"/>
  <tableColumns count="13">
    <tableColumn id="1" xr3:uid="{FD1289F9-523C-6549-BDE5-8ABD4B464FE6}" name="mutation" dataDxfId="2" dataCellStyle="Check Cell"/>
    <tableColumn id="2" xr3:uid="{9D7267D1-C5B1-BC4A-A5DC-B1ECF67EFCCD}" name="A3D_score"/>
    <tableColumn id="3" xr3:uid="{21E6092B-292B-B84E-B978-E1D2FFB5D417}" name="ΔA3D_score">
      <calculatedColumnFormula>SUM(B2,0.5513)</calculatedColumnFormula>
    </tableColumn>
    <tableColumn id="4" xr3:uid="{70FDA78A-E544-5240-9E9C-94C5DE85B03B}" name="ΔΔG (kcal/mol)"/>
    <tableColumn id="5" xr3:uid="{6347D382-1C5C-804C-A0A3-6B5F5DECB76A}" name="CamSol score"/>
    <tableColumn id="8" xr3:uid="{0C1830B0-41C4-534B-BFFB-DF3617879654}" name="CamSol structurally corrected"/>
    <tableColumn id="6" xr3:uid="{5551AD3F-E675-6D4E-8A28-94D461ED56B3}" name="Dynamut score"/>
    <tableColumn id="7" xr3:uid="{BCB5C26D-B42B-1440-8EDB-6F457D12488C}" name="SASA before (Angestrom^2)"/>
    <tableColumn id="9" xr3:uid="{B450159A-0EEA-454B-B25D-C5F54648BD3B}" name="Exposure  before (SASA/SASA max x 100)"/>
    <tableColumn id="10" xr3:uid="{B9EC8F01-D030-A840-B379-5FBA9AEDD80E}" name="SASA After  (Angestrom^2)"/>
    <tableColumn id="11" xr3:uid="{65C7BA7C-B987-1640-9C31-5D2EEEFA16CF}" name="Exposure After (%)"/>
    <tableColumn id="12" xr3:uid="{6C83CF46-19D0-43F3-9131-C37139C4321F}" name="Column1" dataDxfId="1">
      <calculatedColumnFormula>SUM(Table1[[#This Row],[SASA After  (Angestrom^2)]],-Table1[[#This Row],[SASA before (Angestrom^2)]])</calculatedColumnFormula>
    </tableColumn>
    <tableColumn id="13" xr3:uid="{FF9F0181-51D6-4C2F-A637-B20A2A8B58D0}" name="Column2" dataDxfId="0">
      <calculatedColumnFormula>SUM(Table1[[#This Row],[CamSol structurally corrected]],-44)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95B5-9ACA-0343-A5C9-8EF5E52AA56C}">
  <dimension ref="A1:M35"/>
  <sheetViews>
    <sheetView tabSelected="1" zoomScale="109" workbookViewId="0">
      <selection activeCell="C2" activeCellId="1" sqref="L2:L12 C2:C12"/>
    </sheetView>
  </sheetViews>
  <sheetFormatPr defaultColWidth="10.90625" defaultRowHeight="15"/>
  <cols>
    <col min="1" max="1" width="9.36328125" customWidth="1"/>
    <col min="2" max="2" width="12.6328125" bestFit="1" customWidth="1"/>
    <col min="3" max="3" width="13.6328125" bestFit="1" customWidth="1"/>
    <col min="4" max="4" width="16.1796875" bestFit="1" customWidth="1"/>
    <col min="5" max="5" width="15.1796875" bestFit="1" customWidth="1"/>
    <col min="6" max="6" width="25.81640625" bestFit="1" customWidth="1"/>
    <col min="7" max="7" width="16.1796875" bestFit="1" customWidth="1"/>
  </cols>
  <sheetData>
    <row r="1" spans="1:13" ht="16.8" thickTop="1" thickBot="1">
      <c r="A1" s="1" t="s">
        <v>0</v>
      </c>
      <c r="B1" s="1" t="s">
        <v>37</v>
      </c>
      <c r="C1" s="1" t="s">
        <v>35</v>
      </c>
      <c r="D1" s="1" t="s">
        <v>34</v>
      </c>
      <c r="E1" s="1" t="s">
        <v>38</v>
      </c>
      <c r="F1" s="1" t="s">
        <v>41</v>
      </c>
      <c r="G1" s="1" t="s">
        <v>40</v>
      </c>
      <c r="H1" s="1" t="s">
        <v>42</v>
      </c>
      <c r="I1" s="1" t="s">
        <v>45</v>
      </c>
      <c r="J1" s="1" t="s">
        <v>43</v>
      </c>
      <c r="K1" s="1" t="s">
        <v>44</v>
      </c>
      <c r="L1" s="1" t="s">
        <v>46</v>
      </c>
      <c r="M1" s="1" t="s">
        <v>47</v>
      </c>
    </row>
    <row r="2" spans="1:13" ht="16.8" thickTop="1" thickBot="1">
      <c r="A2" s="2" t="s">
        <v>14</v>
      </c>
      <c r="B2">
        <v>-0.59089999999999998</v>
      </c>
      <c r="C2">
        <f>SUM(B2,0.5513)</f>
        <v>-3.9599999999999969E-2</v>
      </c>
      <c r="D2">
        <v>-0.09</v>
      </c>
      <c r="E2" s="3">
        <v>0.544821</v>
      </c>
      <c r="F2" s="4">
        <v>46.35</v>
      </c>
      <c r="G2">
        <v>0.76500000000000001</v>
      </c>
      <c r="H2">
        <v>112.66</v>
      </c>
      <c r="I2">
        <v>66</v>
      </c>
      <c r="J2">
        <v>146.49799999999999</v>
      </c>
      <c r="K2">
        <v>59</v>
      </c>
      <c r="L2">
        <f>SUM(Table1[[#This Row],[SASA After  (Angestrom^2)]],-Table1[[#This Row],[SASA before (Angestrom^2)]])</f>
        <v>33.837999999999994</v>
      </c>
      <c r="M2">
        <f>SUM(Table1[[#This Row],[CamSol structurally corrected]],-44)</f>
        <v>2.3500000000000014</v>
      </c>
    </row>
    <row r="3" spans="1:13" ht="16.8" thickTop="1" thickBot="1">
      <c r="A3" s="2" t="s">
        <v>5</v>
      </c>
      <c r="B3">
        <v>-0.58350000000000002</v>
      </c>
      <c r="C3">
        <f t="shared" ref="C3:C34" si="0">SUM(B3,0.5513)</f>
        <v>-3.2200000000000006E-2</v>
      </c>
      <c r="D3">
        <v>-3.4000000000000002E-2</v>
      </c>
      <c r="E3" s="3">
        <v>0.59663100000000002</v>
      </c>
      <c r="F3" s="4">
        <v>47.76</v>
      </c>
      <c r="G3">
        <v>-0.47199999999999998</v>
      </c>
      <c r="H3">
        <v>137.50299999999999</v>
      </c>
      <c r="I3">
        <v>70</v>
      </c>
      <c r="J3">
        <v>145.63999999999999</v>
      </c>
      <c r="K3">
        <v>59</v>
      </c>
      <c r="L3">
        <f>SUM(Table1[[#This Row],[SASA After  (Angestrom^2)]],-Table1[[#This Row],[SASA before (Angestrom^2)]])</f>
        <v>8.1370000000000005</v>
      </c>
      <c r="M3">
        <f>SUM(Table1[[#This Row],[CamSol structurally corrected]],-44)</f>
        <v>3.759999999999998</v>
      </c>
    </row>
    <row r="4" spans="1:13" ht="16.8" thickTop="1" thickBot="1">
      <c r="A4" s="2" t="s">
        <v>11</v>
      </c>
      <c r="B4">
        <v>-0.58179999999999998</v>
      </c>
      <c r="C4">
        <f t="shared" si="0"/>
        <v>-3.0499999999999972E-2</v>
      </c>
      <c r="D4">
        <v>0.95</v>
      </c>
      <c r="E4" s="3">
        <v>0.53954199999999997</v>
      </c>
      <c r="F4" s="4">
        <v>43.65</v>
      </c>
      <c r="G4">
        <v>1.6E-2</v>
      </c>
      <c r="H4">
        <v>112.66</v>
      </c>
      <c r="I4">
        <v>66</v>
      </c>
      <c r="J4">
        <v>99.625</v>
      </c>
      <c r="K4">
        <v>59</v>
      </c>
      <c r="L4">
        <f>SUM(Table1[[#This Row],[SASA After  (Angestrom^2)]],-Table1[[#This Row],[SASA before (Angestrom^2)]])</f>
        <v>-13.034999999999997</v>
      </c>
      <c r="M4">
        <f>SUM(Table1[[#This Row],[CamSol structurally corrected]],-44)</f>
        <v>-0.35000000000000142</v>
      </c>
    </row>
    <row r="5" spans="1:13" ht="16.8" thickTop="1" thickBot="1">
      <c r="A5" s="2" t="s">
        <v>29</v>
      </c>
      <c r="B5">
        <v>-0.58179999999999998</v>
      </c>
      <c r="C5">
        <f t="shared" si="0"/>
        <v>-3.0499999999999972E-2</v>
      </c>
      <c r="D5">
        <v>-0.37</v>
      </c>
      <c r="E5" s="3">
        <v>0.66078099999999995</v>
      </c>
      <c r="F5" s="4">
        <v>50.38</v>
      </c>
      <c r="G5">
        <v>-8.2000000000000003E-2</v>
      </c>
      <c r="H5">
        <v>97.117999999999995</v>
      </c>
      <c r="I5">
        <v>68</v>
      </c>
      <c r="J5">
        <v>116.873</v>
      </c>
      <c r="K5">
        <v>60</v>
      </c>
      <c r="L5">
        <f>SUM(Table1[[#This Row],[SASA After  (Angestrom^2)]],-Table1[[#This Row],[SASA before (Angestrom^2)]])</f>
        <v>19.75500000000001</v>
      </c>
      <c r="M5">
        <f>SUM(Table1[[#This Row],[CamSol structurally corrected]],-44)</f>
        <v>6.3800000000000026</v>
      </c>
    </row>
    <row r="6" spans="1:13" ht="16.8" thickTop="1" thickBot="1">
      <c r="A6" s="2" t="s">
        <v>26</v>
      </c>
      <c r="B6">
        <v>-0.58109999999999995</v>
      </c>
      <c r="C6">
        <f t="shared" si="0"/>
        <v>-2.9799999999999938E-2</v>
      </c>
      <c r="D6">
        <v>0.26</v>
      </c>
      <c r="E6" s="3">
        <v>0.53934899999999997</v>
      </c>
      <c r="F6" s="4">
        <v>44.42</v>
      </c>
      <c r="G6">
        <v>-0.40699999999999997</v>
      </c>
      <c r="H6">
        <v>112.66</v>
      </c>
      <c r="I6">
        <v>66</v>
      </c>
      <c r="J6">
        <v>116.86199999999999</v>
      </c>
      <c r="K6">
        <v>59</v>
      </c>
      <c r="L6">
        <f>SUM(Table1[[#This Row],[SASA After  (Angestrom^2)]],-Table1[[#This Row],[SASA before (Angestrom^2)]])</f>
        <v>4.2019999999999982</v>
      </c>
      <c r="M6">
        <f>SUM(Table1[[#This Row],[CamSol structurally corrected]],-44)</f>
        <v>0.42000000000000171</v>
      </c>
    </row>
    <row r="7" spans="1:13" ht="16.8" thickTop="1" thickBot="1">
      <c r="A7" s="2" t="s">
        <v>27</v>
      </c>
      <c r="B7">
        <v>-0.57820000000000005</v>
      </c>
      <c r="C7">
        <f t="shared" si="0"/>
        <v>-2.6900000000000035E-2</v>
      </c>
      <c r="D7">
        <v>-0.38</v>
      </c>
      <c r="E7" s="3">
        <v>0.59757099999999996</v>
      </c>
      <c r="F7" s="4">
        <v>47</v>
      </c>
      <c r="G7">
        <v>-8.7999999999999995E-2</v>
      </c>
      <c r="H7">
        <v>96.790999999999997</v>
      </c>
      <c r="I7">
        <v>68</v>
      </c>
      <c r="J7">
        <v>113.75</v>
      </c>
      <c r="K7">
        <v>59</v>
      </c>
      <c r="L7">
        <f>SUM(Table1[[#This Row],[SASA After  (Angestrom^2)]],-Table1[[#This Row],[SASA before (Angestrom^2)]])</f>
        <v>16.959000000000003</v>
      </c>
      <c r="M7">
        <f>SUM(Table1[[#This Row],[CamSol structurally corrected]],-44)</f>
        <v>3</v>
      </c>
    </row>
    <row r="8" spans="1:13" ht="16.8" thickTop="1" thickBot="1">
      <c r="A8" s="2" t="s">
        <v>1</v>
      </c>
      <c r="B8">
        <v>-0.57799999999999996</v>
      </c>
      <c r="C8">
        <f t="shared" si="0"/>
        <v>-2.6699999999999946E-2</v>
      </c>
      <c r="D8">
        <v>-0.44</v>
      </c>
      <c r="E8" s="3">
        <v>0.61963400000000002</v>
      </c>
      <c r="F8" s="4">
        <v>47.44</v>
      </c>
      <c r="G8">
        <v>-0.16800000000000001</v>
      </c>
      <c r="H8">
        <v>97.117999999999995</v>
      </c>
      <c r="I8">
        <v>68</v>
      </c>
      <c r="J8">
        <v>102.768</v>
      </c>
      <c r="K8">
        <v>65</v>
      </c>
      <c r="L8">
        <f>SUM(Table1[[#This Row],[SASA After  (Angestrom^2)]],-Table1[[#This Row],[SASA before (Angestrom^2)]])</f>
        <v>5.6500000000000057</v>
      </c>
      <c r="M8">
        <f>SUM(Table1[[#This Row],[CamSol structurally corrected]],-44)</f>
        <v>3.4399999999999977</v>
      </c>
    </row>
    <row r="9" spans="1:13" ht="16.8" thickTop="1" thickBot="1">
      <c r="A9" s="2" t="s">
        <v>8</v>
      </c>
      <c r="B9">
        <v>-0.57599999999999996</v>
      </c>
      <c r="C9">
        <f t="shared" si="0"/>
        <v>-2.4699999999999944E-2</v>
      </c>
      <c r="D9">
        <v>0.44</v>
      </c>
      <c r="E9" s="3" t="s">
        <v>39</v>
      </c>
      <c r="F9" s="4">
        <v>48.88</v>
      </c>
      <c r="G9">
        <v>0.42199999999999999</v>
      </c>
      <c r="H9">
        <v>146.10599999999999</v>
      </c>
      <c r="I9">
        <v>66</v>
      </c>
      <c r="J9">
        <v>116.07299999999999</v>
      </c>
      <c r="K9">
        <v>60</v>
      </c>
      <c r="L9">
        <f>SUM(Table1[[#This Row],[SASA After  (Angestrom^2)]],-Table1[[#This Row],[SASA before (Angestrom^2)]])</f>
        <v>-30.033000000000001</v>
      </c>
      <c r="M9">
        <f>SUM(Table1[[#This Row],[CamSol structurally corrected]],-44)</f>
        <v>4.8800000000000026</v>
      </c>
    </row>
    <row r="10" spans="1:13" ht="16.8" thickTop="1" thickBot="1">
      <c r="A10" s="2" t="s">
        <v>4</v>
      </c>
      <c r="B10">
        <v>-0.57589999999999997</v>
      </c>
      <c r="C10">
        <f t="shared" si="0"/>
        <v>-2.4599999999999955E-2</v>
      </c>
      <c r="D10">
        <v>0.62</v>
      </c>
      <c r="E10" s="3">
        <v>0.60714500000000005</v>
      </c>
      <c r="F10" s="4">
        <v>47.86</v>
      </c>
      <c r="G10">
        <v>-0.27300000000000002</v>
      </c>
      <c r="H10">
        <v>112.30500000000001</v>
      </c>
      <c r="I10">
        <v>68</v>
      </c>
      <c r="J10">
        <v>100.861</v>
      </c>
      <c r="K10">
        <v>61</v>
      </c>
      <c r="L10">
        <f>SUM(Table1[[#This Row],[SASA After  (Angestrom^2)]],-Table1[[#This Row],[SASA before (Angestrom^2)]])</f>
        <v>-11.444000000000003</v>
      </c>
      <c r="M10">
        <f>SUM(Table1[[#This Row],[CamSol structurally corrected]],-44)</f>
        <v>3.8599999999999994</v>
      </c>
    </row>
    <row r="11" spans="1:13" ht="16.8" thickTop="1" thickBot="1">
      <c r="A11" s="2" t="s">
        <v>17</v>
      </c>
      <c r="B11">
        <v>-0.57450000000000001</v>
      </c>
      <c r="C11">
        <f t="shared" si="0"/>
        <v>-2.3199999999999998E-2</v>
      </c>
      <c r="D11">
        <v>0.75</v>
      </c>
      <c r="E11" s="3">
        <v>0.63516099999999998</v>
      </c>
      <c r="F11" s="4">
        <v>49.23</v>
      </c>
      <c r="G11">
        <v>-0.21199999999999999</v>
      </c>
      <c r="H11">
        <v>112.09</v>
      </c>
      <c r="I11">
        <v>66</v>
      </c>
      <c r="J11">
        <v>102.187</v>
      </c>
      <c r="K11">
        <v>63</v>
      </c>
      <c r="L11">
        <f>SUM(Table1[[#This Row],[SASA After  (Angestrom^2)]],-Table1[[#This Row],[SASA before (Angestrom^2)]])</f>
        <v>-9.9030000000000058</v>
      </c>
      <c r="M11">
        <f>SUM(Table1[[#This Row],[CamSol structurally corrected]],-44)</f>
        <v>5.2299999999999969</v>
      </c>
    </row>
    <row r="12" spans="1:13" ht="16.8" thickTop="1" thickBot="1">
      <c r="A12" s="2" t="s">
        <v>21</v>
      </c>
      <c r="B12">
        <v>-0.57289999999999996</v>
      </c>
      <c r="C12">
        <f t="shared" si="0"/>
        <v>-2.1599999999999953E-2</v>
      </c>
      <c r="D12">
        <v>0.56000000000000005</v>
      </c>
      <c r="E12" s="3">
        <v>0.57627600000000001</v>
      </c>
      <c r="F12" s="4">
        <v>43.38</v>
      </c>
      <c r="G12">
        <v>-5.0999999999999997E-2</v>
      </c>
      <c r="H12">
        <v>110.95</v>
      </c>
      <c r="I12">
        <v>66</v>
      </c>
      <c r="J12">
        <v>115.07599999999999</v>
      </c>
      <c r="K12">
        <v>58</v>
      </c>
      <c r="L12">
        <f>SUM(Table1[[#This Row],[SASA After  (Angestrom^2)]],-Table1[[#This Row],[SASA before (Angestrom^2)]])</f>
        <v>4.1259999999999906</v>
      </c>
      <c r="M12">
        <f>SUM(Table1[[#This Row],[CamSol structurally corrected]],-44)</f>
        <v>-0.61999999999999744</v>
      </c>
    </row>
    <row r="13" spans="1:13" ht="16.8" thickTop="1" thickBot="1">
      <c r="A13" s="2" t="s">
        <v>7</v>
      </c>
      <c r="B13">
        <v>-0.57250000000000001</v>
      </c>
      <c r="C13">
        <f t="shared" si="0"/>
        <v>-2.1199999999999997E-2</v>
      </c>
      <c r="D13">
        <v>0.85</v>
      </c>
      <c r="E13" s="3"/>
      <c r="F13" s="4"/>
      <c r="L13">
        <f>SUM(Table1[[#This Row],[SASA After  (Angestrom^2)]],-Table1[[#This Row],[SASA before (Angestrom^2)]])</f>
        <v>0</v>
      </c>
      <c r="M13">
        <f>SUM(Table1[[#This Row],[CamSol structurally corrected]],-44)</f>
        <v>-44</v>
      </c>
    </row>
    <row r="14" spans="1:13" ht="16.8" thickTop="1" thickBot="1">
      <c r="A14" s="2" t="s">
        <v>19</v>
      </c>
      <c r="B14">
        <v>-0.57030000000000003</v>
      </c>
      <c r="C14">
        <f t="shared" si="0"/>
        <v>-1.9000000000000017E-2</v>
      </c>
      <c r="D14">
        <v>0.92</v>
      </c>
      <c r="E14" s="3"/>
      <c r="F14" s="4"/>
      <c r="L14">
        <f>SUM(Table1[[#This Row],[SASA After  (Angestrom^2)]],-Table1[[#This Row],[SASA before (Angestrom^2)]])</f>
        <v>0</v>
      </c>
      <c r="M14">
        <f>SUM(Table1[[#This Row],[CamSol structurally corrected]],-44)</f>
        <v>-44</v>
      </c>
    </row>
    <row r="15" spans="1:13" ht="16.8" thickTop="1" thickBot="1">
      <c r="A15" s="2" t="s">
        <v>6</v>
      </c>
      <c r="B15">
        <v>-0.56989999999999996</v>
      </c>
      <c r="C15">
        <f t="shared" si="0"/>
        <v>-1.859999999999995E-2</v>
      </c>
      <c r="D15">
        <v>0.87</v>
      </c>
      <c r="E15" s="3"/>
      <c r="L15">
        <f>SUM(Table1[[#This Row],[SASA After  (Angestrom^2)]],-Table1[[#This Row],[SASA before (Angestrom^2)]])</f>
        <v>0</v>
      </c>
      <c r="M15">
        <f>SUM(Table1[[#This Row],[CamSol structurally corrected]],-44)</f>
        <v>-44</v>
      </c>
    </row>
    <row r="16" spans="1:13" ht="16.8" thickTop="1" thickBot="1">
      <c r="A16" s="2" t="s">
        <v>2</v>
      </c>
      <c r="B16">
        <v>-0.56969999999999998</v>
      </c>
      <c r="C16">
        <f t="shared" si="0"/>
        <v>-1.8399999999999972E-2</v>
      </c>
      <c r="D16">
        <v>-3.4000000000000002E-2</v>
      </c>
      <c r="L16">
        <f>SUM(Table1[[#This Row],[SASA After  (Angestrom^2)]],-Table1[[#This Row],[SASA before (Angestrom^2)]])</f>
        <v>0</v>
      </c>
      <c r="M16">
        <f>SUM(Table1[[#This Row],[CamSol structurally corrected]],-44)</f>
        <v>-44</v>
      </c>
    </row>
    <row r="17" spans="1:13" ht="16.8" thickTop="1" thickBot="1">
      <c r="A17" s="2" t="s">
        <v>13</v>
      </c>
      <c r="B17">
        <v>-0.5696</v>
      </c>
      <c r="C17">
        <f t="shared" si="0"/>
        <v>-1.8299999999999983E-2</v>
      </c>
      <c r="D17">
        <v>6.0000000000000001E-3</v>
      </c>
      <c r="L17">
        <f>SUM(Table1[[#This Row],[SASA After  (Angestrom^2)]],-Table1[[#This Row],[SASA before (Angestrom^2)]])</f>
        <v>0</v>
      </c>
      <c r="M17">
        <f>SUM(Table1[[#This Row],[CamSol structurally corrected]],-44)</f>
        <v>-44</v>
      </c>
    </row>
    <row r="18" spans="1:13" ht="16.8" thickTop="1" thickBot="1">
      <c r="A18" s="2" t="s">
        <v>9</v>
      </c>
      <c r="B18">
        <v>-0.56789999999999996</v>
      </c>
      <c r="C18">
        <f t="shared" si="0"/>
        <v>-1.6599999999999948E-2</v>
      </c>
      <c r="D18">
        <v>0.17</v>
      </c>
      <c r="L18">
        <f>SUM(Table1[[#This Row],[SASA After  (Angestrom^2)]],-Table1[[#This Row],[SASA before (Angestrom^2)]])</f>
        <v>0</v>
      </c>
      <c r="M18">
        <f>SUM(Table1[[#This Row],[CamSol structurally corrected]],-44)</f>
        <v>-44</v>
      </c>
    </row>
    <row r="19" spans="1:13" ht="16.8" thickTop="1" thickBot="1">
      <c r="A19" s="2" t="s">
        <v>16</v>
      </c>
      <c r="B19">
        <v>-0.56789999999999996</v>
      </c>
      <c r="C19">
        <f t="shared" si="0"/>
        <v>-1.6599999999999948E-2</v>
      </c>
      <c r="D19">
        <v>0.24</v>
      </c>
      <c r="L19">
        <f>SUM(Table1[[#This Row],[SASA After  (Angestrom^2)]],-Table1[[#This Row],[SASA before (Angestrom^2)]])</f>
        <v>0</v>
      </c>
      <c r="M19">
        <f>SUM(Table1[[#This Row],[CamSol structurally corrected]],-44)</f>
        <v>-44</v>
      </c>
    </row>
    <row r="20" spans="1:13" ht="16.8" thickTop="1" thickBot="1">
      <c r="A20" s="2" t="s">
        <v>31</v>
      </c>
      <c r="B20">
        <v>-0.56679999999999997</v>
      </c>
      <c r="C20">
        <f t="shared" si="0"/>
        <v>-1.5499999999999958E-2</v>
      </c>
      <c r="D20">
        <v>0.35</v>
      </c>
      <c r="L20">
        <f>SUM(Table1[[#This Row],[SASA After  (Angestrom^2)]],-Table1[[#This Row],[SASA before (Angestrom^2)]])</f>
        <v>0</v>
      </c>
      <c r="M20">
        <f>SUM(Table1[[#This Row],[CamSol structurally corrected]],-44)</f>
        <v>-44</v>
      </c>
    </row>
    <row r="21" spans="1:13" ht="16.8" thickTop="1" thickBot="1">
      <c r="A21" s="2" t="s">
        <v>10</v>
      </c>
      <c r="B21">
        <v>-0.56440000000000001</v>
      </c>
      <c r="C21">
        <f t="shared" si="0"/>
        <v>-1.3100000000000001E-2</v>
      </c>
      <c r="D21">
        <v>0.35</v>
      </c>
      <c r="L21">
        <f>SUM(Table1[[#This Row],[SASA After  (Angestrom^2)]],-Table1[[#This Row],[SASA before (Angestrom^2)]])</f>
        <v>0</v>
      </c>
      <c r="M21">
        <f>SUM(Table1[[#This Row],[CamSol structurally corrected]],-44)</f>
        <v>-44</v>
      </c>
    </row>
    <row r="22" spans="1:13" ht="16.8" thickTop="1" thickBot="1">
      <c r="A22" s="2" t="s">
        <v>28</v>
      </c>
      <c r="B22">
        <v>-0.5635</v>
      </c>
      <c r="C22">
        <f t="shared" si="0"/>
        <v>-1.2199999999999989E-2</v>
      </c>
      <c r="D22">
        <v>0.54</v>
      </c>
      <c r="L22">
        <f>SUM(Table1[[#This Row],[SASA After  (Angestrom^2)]],-Table1[[#This Row],[SASA before (Angestrom^2)]])</f>
        <v>0</v>
      </c>
      <c r="M22">
        <f>SUM(Table1[[#This Row],[CamSol structurally corrected]],-44)</f>
        <v>-44</v>
      </c>
    </row>
    <row r="23" spans="1:13" ht="16.8" thickTop="1" thickBot="1">
      <c r="A23" s="2" t="s">
        <v>12</v>
      </c>
      <c r="B23">
        <v>-0.56289999999999996</v>
      </c>
      <c r="C23">
        <f t="shared" si="0"/>
        <v>-1.1599999999999944E-2</v>
      </c>
      <c r="D23">
        <v>0.62</v>
      </c>
      <c r="L23">
        <f>SUM(Table1[[#This Row],[SASA After  (Angestrom^2)]],-Table1[[#This Row],[SASA before (Angestrom^2)]])</f>
        <v>0</v>
      </c>
      <c r="M23">
        <f>SUM(Table1[[#This Row],[CamSol structurally corrected]],-44)</f>
        <v>-44</v>
      </c>
    </row>
    <row r="24" spans="1:13" ht="16.8" thickTop="1" thickBot="1">
      <c r="A24" s="2" t="s">
        <v>18</v>
      </c>
      <c r="B24">
        <v>-0.56210000000000004</v>
      </c>
      <c r="C24">
        <f t="shared" si="0"/>
        <v>-1.0800000000000032E-2</v>
      </c>
      <c r="D24">
        <v>0.56000000000000005</v>
      </c>
      <c r="L24">
        <f>SUM(Table1[[#This Row],[SASA After  (Angestrom^2)]],-Table1[[#This Row],[SASA before (Angestrom^2)]])</f>
        <v>0</v>
      </c>
      <c r="M24">
        <f>SUM(Table1[[#This Row],[CamSol structurally corrected]],-44)</f>
        <v>-44</v>
      </c>
    </row>
    <row r="25" spans="1:13" ht="16.8" thickTop="1" thickBot="1">
      <c r="A25" s="2" t="s">
        <v>3</v>
      </c>
      <c r="B25">
        <v>-0.56140000000000001</v>
      </c>
      <c r="C25">
        <f t="shared" si="0"/>
        <v>-1.0099999999999998E-2</v>
      </c>
      <c r="D25">
        <v>-0.18</v>
      </c>
      <c r="L25">
        <f>SUM(Table1[[#This Row],[SASA After  (Angestrom^2)]],-Table1[[#This Row],[SASA before (Angestrom^2)]])</f>
        <v>0</v>
      </c>
      <c r="M25">
        <f>SUM(Table1[[#This Row],[CamSol structurally corrected]],-44)</f>
        <v>-44</v>
      </c>
    </row>
    <row r="26" spans="1:13" ht="16.8" thickTop="1" thickBot="1">
      <c r="A26" s="2" t="s">
        <v>25</v>
      </c>
      <c r="B26">
        <v>-0.56140000000000001</v>
      </c>
      <c r="C26">
        <f t="shared" si="0"/>
        <v>-1.0099999999999998E-2</v>
      </c>
      <c r="D26">
        <v>0.46</v>
      </c>
      <c r="L26">
        <f>SUM(Table1[[#This Row],[SASA After  (Angestrom^2)]],-Table1[[#This Row],[SASA before (Angestrom^2)]])</f>
        <v>0</v>
      </c>
      <c r="M26">
        <f>SUM(Table1[[#This Row],[CamSol structurally corrected]],-44)</f>
        <v>-44</v>
      </c>
    </row>
    <row r="27" spans="1:13" ht="16.8" thickTop="1" thickBot="1">
      <c r="A27" s="2" t="s">
        <v>24</v>
      </c>
      <c r="B27">
        <v>-0.55859999999999999</v>
      </c>
      <c r="C27">
        <f t="shared" si="0"/>
        <v>-7.2999999999999732E-3</v>
      </c>
      <c r="D27">
        <v>-1.4E-2</v>
      </c>
      <c r="L27">
        <f>SUM(Table1[[#This Row],[SASA After  (Angestrom^2)]],-Table1[[#This Row],[SASA before (Angestrom^2)]])</f>
        <v>0</v>
      </c>
      <c r="M27">
        <f>SUM(Table1[[#This Row],[CamSol structurally corrected]],-44)</f>
        <v>-44</v>
      </c>
    </row>
    <row r="28" spans="1:13" ht="16.8" thickTop="1" thickBot="1">
      <c r="A28" s="2" t="s">
        <v>15</v>
      </c>
      <c r="B28">
        <v>-0.55710000000000004</v>
      </c>
      <c r="C28">
        <f t="shared" si="0"/>
        <v>-5.8000000000000274E-3</v>
      </c>
      <c r="D28">
        <v>0.16800000000000001</v>
      </c>
      <c r="L28">
        <f>SUM(Table1[[#This Row],[SASA After  (Angestrom^2)]],-Table1[[#This Row],[SASA before (Angestrom^2)]])</f>
        <v>0</v>
      </c>
      <c r="M28">
        <f>SUM(Table1[[#This Row],[CamSol structurally corrected]],-44)</f>
        <v>-44</v>
      </c>
    </row>
    <row r="29" spans="1:13" ht="16.8" thickTop="1" thickBot="1">
      <c r="A29" s="2" t="s">
        <v>33</v>
      </c>
      <c r="B29">
        <v>-0.55610000000000004</v>
      </c>
      <c r="C29">
        <f t="shared" si="0"/>
        <v>-4.8000000000000265E-3</v>
      </c>
      <c r="D29">
        <v>-0.5</v>
      </c>
      <c r="L29">
        <f>SUM(Table1[[#This Row],[SASA After  (Angestrom^2)]],-Table1[[#This Row],[SASA before (Angestrom^2)]])</f>
        <v>0</v>
      </c>
      <c r="M29">
        <f>SUM(Table1[[#This Row],[CamSol structurally corrected]],-44)</f>
        <v>-44</v>
      </c>
    </row>
    <row r="30" spans="1:13" ht="16.8" thickTop="1" thickBot="1">
      <c r="A30" s="2" t="s">
        <v>20</v>
      </c>
      <c r="B30">
        <v>-0.55589999999999995</v>
      </c>
      <c r="C30">
        <f t="shared" si="0"/>
        <v>-4.5999999999999375E-3</v>
      </c>
      <c r="D30">
        <v>0.95</v>
      </c>
      <c r="L30">
        <f>SUM(Table1[[#This Row],[SASA After  (Angestrom^2)]],-Table1[[#This Row],[SASA before (Angestrom^2)]])</f>
        <v>0</v>
      </c>
      <c r="M30">
        <f>SUM(Table1[[#This Row],[CamSol structurally corrected]],-44)</f>
        <v>-44</v>
      </c>
    </row>
    <row r="31" spans="1:13" ht="16.8" thickTop="1" thickBot="1">
      <c r="A31" s="2" t="s">
        <v>22</v>
      </c>
      <c r="B31">
        <v>-0.55589999999999995</v>
      </c>
      <c r="C31">
        <f>SUM(B31,0.5513)</f>
        <v>-4.5999999999999375E-3</v>
      </c>
      <c r="D31">
        <v>0.19</v>
      </c>
      <c r="L31">
        <f>SUM(Table1[[#This Row],[SASA After  (Angestrom^2)]],-Table1[[#This Row],[SASA before (Angestrom^2)]])</f>
        <v>0</v>
      </c>
      <c r="M31">
        <f>SUM(Table1[[#This Row],[CamSol structurally corrected]],-44)</f>
        <v>-44</v>
      </c>
    </row>
    <row r="32" spans="1:13" ht="16.8" thickTop="1" thickBot="1">
      <c r="A32" s="2" t="s">
        <v>32</v>
      </c>
      <c r="B32">
        <v>-0.55569999999999997</v>
      </c>
      <c r="C32">
        <f t="shared" si="0"/>
        <v>-4.3999999999999595E-3</v>
      </c>
      <c r="D32">
        <v>0.27</v>
      </c>
      <c r="L32">
        <f>SUM(Table1[[#This Row],[SASA After  (Angestrom^2)]],-Table1[[#This Row],[SASA before (Angestrom^2)]])</f>
        <v>0</v>
      </c>
      <c r="M32">
        <f>SUM(Table1[[#This Row],[CamSol structurally corrected]],-44)</f>
        <v>-44</v>
      </c>
    </row>
    <row r="33" spans="1:13" ht="16.8" thickTop="1" thickBot="1">
      <c r="A33" s="2" t="s">
        <v>23</v>
      </c>
      <c r="B33">
        <v>-0.55449999999999999</v>
      </c>
      <c r="C33">
        <f t="shared" si="0"/>
        <v>-3.1999999999999806E-3</v>
      </c>
      <c r="D33">
        <v>-0.46</v>
      </c>
      <c r="L33">
        <f>SUM(Table1[[#This Row],[SASA After  (Angestrom^2)]],-Table1[[#This Row],[SASA before (Angestrom^2)]])</f>
        <v>0</v>
      </c>
      <c r="M33">
        <f>SUM(Table1[[#This Row],[CamSol structurally corrected]],-44)</f>
        <v>-44</v>
      </c>
    </row>
    <row r="34" spans="1:13" ht="16.8" thickTop="1" thickBot="1">
      <c r="A34" s="2" t="s">
        <v>30</v>
      </c>
      <c r="B34">
        <v>-0.55410000000000004</v>
      </c>
      <c r="C34">
        <f t="shared" si="0"/>
        <v>-2.8000000000000247E-3</v>
      </c>
      <c r="D34">
        <v>0.73</v>
      </c>
      <c r="L34">
        <f>SUM(Table1[[#This Row],[SASA After  (Angestrom^2)]],-Table1[[#This Row],[SASA before (Angestrom^2)]])</f>
        <v>0</v>
      </c>
      <c r="M34">
        <f>SUM(Table1[[#This Row],[CamSol structurally corrected]],-44)</f>
        <v>-44</v>
      </c>
    </row>
    <row r="35" spans="1:13" ht="15.6" thickTop="1">
      <c r="A35" t="s">
        <v>36</v>
      </c>
      <c r="B35">
        <v>-0.55130000000000001</v>
      </c>
      <c r="C35">
        <f>SUM(B35,0.5513)</f>
        <v>0</v>
      </c>
      <c r="E35">
        <v>0.53934899999999997</v>
      </c>
      <c r="F35">
        <v>44.64</v>
      </c>
    </row>
  </sheetData>
  <sortState xmlns:xlrd2="http://schemas.microsoft.com/office/spreadsheetml/2017/richdata2" ref="A2:D48">
    <sortCondition ref="B2:B48"/>
  </sortState>
  <phoneticPr fontId="2" type="noConversion"/>
  <conditionalFormatting sqref="B2:B34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:C34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3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:F1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</dc:creator>
  <cp:lastModifiedBy>Hossein teimury</cp:lastModifiedBy>
  <dcterms:created xsi:type="dcterms:W3CDTF">2026-02-25T11:33:53Z</dcterms:created>
  <dcterms:modified xsi:type="dcterms:W3CDTF">2026-02-25T21:30:23Z</dcterms:modified>
</cp:coreProperties>
</file>